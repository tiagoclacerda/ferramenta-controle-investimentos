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redebahia-my.sharepoint.com/personal/tlacerda_redebahia_com_br/Documents/Documentos/"/>
    </mc:Choice>
  </mc:AlternateContent>
  <bookViews>
    <workbookView xWindow="0" yWindow="0" windowWidth="28800" windowHeight="12300" tabRatio="0"/>
  </bookViews>
  <sheets>
    <sheet name="Folha1" sheetId="1" r:id="rId1"/>
    <sheet name="Folha2" sheetId="2" r:id="rId2"/>
  </sheets>
  <definedNames>
    <definedName name="aporte">Folha1!$D$12</definedName>
    <definedName name="patrimonio">Folha1!$D$15</definedName>
    <definedName name="qtd_anos">Folha1!$D$13</definedName>
    <definedName name="redimento_carteira">Folha1!$D$8</definedName>
    <definedName name="salario">Folha1!$D$7</definedName>
    <definedName name="sugestao_investimento">Folha1!$D$9</definedName>
    <definedName name="taxa_mensal">Folha1!$D$14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0" i="1" l="1"/>
  <c r="C31" i="1"/>
  <c r="C32" i="1"/>
  <c r="C33" i="1"/>
  <c r="C34" i="1"/>
  <c r="C29" i="1"/>
  <c r="B15" i="2"/>
  <c r="B20" i="2"/>
  <c r="B19" i="2"/>
  <c r="B18" i="2"/>
  <c r="B17" i="2"/>
  <c r="B16" i="2"/>
  <c r="B14" i="2"/>
  <c r="B13" i="2"/>
  <c r="B12" i="2"/>
  <c r="B11" i="2"/>
  <c r="B10" i="2"/>
  <c r="B9" i="2"/>
  <c r="B4" i="2"/>
  <c r="B5" i="2"/>
  <c r="B6" i="2"/>
  <c r="B7" i="2"/>
  <c r="B8" i="2"/>
  <c r="B3" i="2"/>
  <c r="C26" i="1"/>
  <c r="D32" i="1" l="1"/>
  <c r="D29" i="1"/>
  <c r="D31" i="1"/>
  <c r="D34" i="1"/>
  <c r="D30" i="1"/>
  <c r="D33" i="1"/>
  <c r="D9" i="1"/>
  <c r="D15" i="1"/>
  <c r="D16" i="1" s="1"/>
  <c r="C20" i="1"/>
  <c r="D20" i="1" s="1"/>
  <c r="C21" i="1"/>
  <c r="D21" i="1" s="1"/>
  <c r="C22" i="1"/>
  <c r="D22" i="1" s="1"/>
  <c r="C23" i="1"/>
  <c r="D23" i="1" s="1"/>
  <c r="C19" i="1"/>
  <c r="D19" i="1" s="1"/>
  <c r="D35" i="1" l="1"/>
</calcChain>
</file>

<file path=xl/sharedStrings.xml><?xml version="1.0" encoding="utf-8"?>
<sst xmlns="http://schemas.openxmlformats.org/spreadsheetml/2006/main" count="69" uniqueCount="35">
  <si>
    <t>Quanto investir por mês</t>
  </si>
  <si>
    <t>Por quantos anos?</t>
  </si>
  <si>
    <t>INVESTIMENTO MENSAL</t>
  </si>
  <si>
    <t>Taxa de rendimento mensal?</t>
  </si>
  <si>
    <t>Patrimônio acumulado?</t>
  </si>
  <si>
    <t>Dividendos mensais?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</si>
  <si>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</si>
  <si>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</si>
  <si>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</si>
  <si>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</si>
  <si>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</si>
  <si>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</si>
  <si>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</si>
  <si>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Rendimento Carteira</t>
  </si>
  <si>
    <t>Sugestão de Investimento</t>
  </si>
  <si>
    <t>CONFIGURAÇÕES</t>
  </si>
  <si>
    <t>Perfil</t>
  </si>
  <si>
    <t>Agressivo</t>
  </si>
  <si>
    <t>VALOR A SER INVESTIDO POR MÊS</t>
  </si>
  <si>
    <t>PERFIL</t>
  </si>
  <si>
    <t>TIPO DE FII</t>
  </si>
  <si>
    <t>PAPEL</t>
  </si>
  <si>
    <t>TIJOLO</t>
  </si>
  <si>
    <t>HÍBRIDOS</t>
  </si>
  <si>
    <t>FOF's</t>
  </si>
  <si>
    <t>DESENVOLVIMENTO</t>
  </si>
  <si>
    <t>HOTELARIAS</t>
  </si>
  <si>
    <t>Percentual sugerido</t>
  </si>
  <si>
    <t>Valores</t>
  </si>
  <si>
    <t>Tip de FII</t>
  </si>
  <si>
    <t>Conservador</t>
  </si>
  <si>
    <t>%</t>
  </si>
  <si>
    <t>Moderado</t>
  </si>
  <si>
    <t>Chave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</si>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</sst>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00%"/>
    <numFmt numFmtId="165" formatCode="&quot;R$&quot;\ 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2"/>
      <color theme="1"/>
      <name val="Segoe UI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sz val="11"/>
      <color rgb="FF9C65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/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0" tint="-0.14996795556505021"/>
      </bottom>
      <diagonal/>
    </border>
    <border>
      <left/>
      <right style="thin">
        <color theme="0" tint="-0.249977111117893"/>
      </right>
      <top/>
      <bottom style="medium">
        <color theme="0" tint="-0.14996795556505021"/>
      </bottom>
      <diagonal/>
    </border>
    <border>
      <left style="thin">
        <color theme="0" tint="-0.249977111117893"/>
      </left>
      <right style="medium">
        <color indexed="64"/>
      </right>
      <top/>
      <bottom style="medium">
        <color theme="0" tint="-0.14996795556505021"/>
      </bottom>
      <diagonal/>
    </border>
    <border>
      <left style="medium">
        <color indexed="64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 style="thin">
        <color theme="0" tint="-0.249977111117893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249977111117893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/>
      <top style="medium">
        <color theme="0" tint="-0.14996795556505021"/>
      </top>
      <bottom style="medium">
        <color indexed="64"/>
      </bottom>
      <diagonal/>
    </border>
    <border>
      <left/>
      <right style="thin">
        <color theme="0" tint="-0.249977111117893"/>
      </right>
      <top style="medium">
        <color theme="0" tint="-0.14996795556505021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5" borderId="0" applyNumberFormat="0" applyBorder="0" applyAlignment="0" applyProtection="0"/>
  </cellStyleXfs>
  <cellXfs count="58">
    <xf numFmtId="0" fontId="0" fillId="0" borderId="0" xfId="0"/>
    <xf numFmtId="0" fontId="0" fillId="0" borderId="0" xfId="0" applyAlignment="1">
      <alignment vertical="center"/>
    </xf>
    <xf numFmtId="0" fontId="4" fillId="3" borderId="2" xfId="0" applyFont="1" applyFill="1" applyBorder="1" applyAlignment="1">
      <alignment horizontal="left" vertical="center" indent="1"/>
    </xf>
    <xf numFmtId="0" fontId="3" fillId="0" borderId="0" xfId="0" applyFont="1" applyAlignment="1">
      <alignment vertical="center"/>
    </xf>
    <xf numFmtId="0" fontId="4" fillId="3" borderId="2" xfId="0" applyFont="1" applyFill="1" applyBorder="1" applyAlignment="1">
      <alignment vertical="center"/>
    </xf>
    <xf numFmtId="165" fontId="0" fillId="0" borderId="15" xfId="1" applyNumberFormat="1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8" fontId="2" fillId="2" borderId="18" xfId="0" applyNumberFormat="1" applyFont="1" applyFill="1" applyBorder="1" applyAlignment="1">
      <alignment horizontal="center" vertical="center"/>
    </xf>
    <xf numFmtId="8" fontId="2" fillId="2" borderId="21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 indent="1"/>
    </xf>
    <xf numFmtId="165" fontId="0" fillId="2" borderId="5" xfId="0" applyNumberFormat="1" applyFill="1" applyBorder="1" applyAlignment="1">
      <alignment horizontal="center" vertical="center"/>
    </xf>
    <xf numFmtId="165" fontId="0" fillId="2" borderId="6" xfId="0" applyNumberForma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left" vertical="center" indent="1"/>
    </xf>
    <xf numFmtId="165" fontId="0" fillId="2" borderId="8" xfId="0" applyNumberForma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left" vertical="center" indent="1"/>
    </xf>
    <xf numFmtId="165" fontId="0" fillId="2" borderId="11" xfId="0" applyNumberFormat="1" applyFill="1" applyBorder="1" applyAlignment="1">
      <alignment horizontal="center" vertical="center"/>
    </xf>
    <xf numFmtId="165" fontId="0" fillId="2" borderId="12" xfId="0" applyNumberFormat="1" applyFill="1" applyBorder="1" applyAlignment="1">
      <alignment horizontal="center" vertical="center"/>
    </xf>
    <xf numFmtId="0" fontId="7" fillId="4" borderId="2" xfId="0" applyFont="1" applyFill="1" applyBorder="1" applyAlignment="1">
      <alignment vertical="center"/>
    </xf>
    <xf numFmtId="165" fontId="9" fillId="0" borderId="6" xfId="1" applyNumberFormat="1" applyFont="1" applyBorder="1" applyAlignment="1">
      <alignment horizontal="center" vertical="center"/>
    </xf>
    <xf numFmtId="10" fontId="9" fillId="0" borderId="9" xfId="2" applyNumberFormat="1" applyFont="1" applyBorder="1" applyAlignment="1">
      <alignment horizontal="center" vertical="center"/>
    </xf>
    <xf numFmtId="165" fontId="9" fillId="0" borderId="12" xfId="0" applyNumberFormat="1" applyFont="1" applyBorder="1" applyAlignment="1">
      <alignment horizontal="center" vertical="center"/>
    </xf>
    <xf numFmtId="0" fontId="8" fillId="2" borderId="7" xfId="0" applyFont="1" applyFill="1" applyBorder="1" applyAlignment="1">
      <alignment horizontal="left" vertical="center" indent="1"/>
    </xf>
    <xf numFmtId="0" fontId="8" fillId="2" borderId="8" xfId="0" applyFont="1" applyFill="1" applyBorder="1" applyAlignment="1">
      <alignment horizontal="left" vertical="center" indent="1"/>
    </xf>
    <xf numFmtId="0" fontId="8" fillId="2" borderId="10" xfId="0" applyFont="1" applyFill="1" applyBorder="1" applyAlignment="1">
      <alignment horizontal="left" vertical="center" indent="1"/>
    </xf>
    <xf numFmtId="0" fontId="8" fillId="2" borderId="1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4" fillId="3" borderId="3" xfId="0" applyFont="1" applyFill="1" applyBorder="1" applyAlignment="1">
      <alignment horizontal="left" vertical="center" indent="1"/>
    </xf>
    <xf numFmtId="0" fontId="7" fillId="4" borderId="1" xfId="0" applyFont="1" applyFill="1" applyBorder="1" applyAlignment="1">
      <alignment horizontal="left" vertical="center" indent="1"/>
    </xf>
    <xf numFmtId="0" fontId="7" fillId="4" borderId="3" xfId="0" applyFont="1" applyFill="1" applyBorder="1" applyAlignment="1">
      <alignment horizontal="left" vertical="center" indent="1"/>
    </xf>
    <xf numFmtId="0" fontId="5" fillId="0" borderId="13" xfId="0" applyFont="1" applyBorder="1" applyAlignment="1">
      <alignment horizontal="left" vertical="center" indent="1"/>
    </xf>
    <xf numFmtId="0" fontId="5" fillId="0" borderId="14" xfId="0" applyFont="1" applyBorder="1" applyAlignment="1">
      <alignment horizontal="left" vertical="center" indent="1"/>
    </xf>
    <xf numFmtId="0" fontId="5" fillId="0" borderId="16" xfId="0" applyFont="1" applyBorder="1" applyAlignment="1">
      <alignment horizontal="left" vertical="center" indent="1"/>
    </xf>
    <xf numFmtId="0" fontId="5" fillId="0" borderId="17" xfId="0" applyFont="1" applyBorder="1" applyAlignment="1">
      <alignment horizontal="left" vertical="center" indent="1"/>
    </xf>
    <xf numFmtId="0" fontId="6" fillId="2" borderId="16" xfId="0" applyFont="1" applyFill="1" applyBorder="1" applyAlignment="1">
      <alignment horizontal="left" vertical="center" indent="1"/>
    </xf>
    <xf numFmtId="0" fontId="6" fillId="2" borderId="17" xfId="0" applyFont="1" applyFill="1" applyBorder="1" applyAlignment="1">
      <alignment horizontal="left" vertical="center" indent="1"/>
    </xf>
    <xf numFmtId="0" fontId="6" fillId="2" borderId="19" xfId="0" applyFont="1" applyFill="1" applyBorder="1" applyAlignment="1">
      <alignment horizontal="left" vertical="center" indent="1"/>
    </xf>
    <xf numFmtId="0" fontId="6" fillId="2" borderId="20" xfId="0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 indent="1"/>
    </xf>
    <xf numFmtId="0" fontId="8" fillId="2" borderId="5" xfId="0" applyFont="1" applyFill="1" applyBorder="1" applyAlignment="1">
      <alignment horizontal="left" vertical="center" indent="1"/>
    </xf>
    <xf numFmtId="0" fontId="10" fillId="5" borderId="0" xfId="3" applyBorder="1" applyAlignment="1">
      <alignment horizontal="left" vertical="center" indent="1"/>
    </xf>
    <xf numFmtId="0" fontId="10" fillId="5" borderId="0" xfId="3"/>
    <xf numFmtId="0" fontId="10" fillId="5" borderId="0" xfId="3" applyAlignment="1">
      <alignment horizontal="center" vertical="center"/>
    </xf>
    <xf numFmtId="0" fontId="6" fillId="2" borderId="0" xfId="0" applyFont="1" applyFill="1" applyBorder="1" applyAlignment="1">
      <alignment horizontal="left" vertical="center" inden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vertical="center"/>
    </xf>
    <xf numFmtId="165" fontId="0" fillId="0" borderId="0" xfId="0" applyNumberFormat="1"/>
    <xf numFmtId="0" fontId="2" fillId="6" borderId="0" xfId="0" applyFont="1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vertical="center"/>
    </xf>
    <xf numFmtId="165" fontId="0" fillId="6" borderId="0" xfId="0" applyNumberFormat="1" applyFill="1" applyAlignment="1">
      <alignment vertical="center"/>
    </xf>
    <xf numFmtId="165" fontId="2" fillId="2" borderId="0" xfId="0" applyNumberFormat="1" applyFont="1" applyFill="1" applyAlignment="1">
      <alignment horizontal="center" vertical="center"/>
    </xf>
    <xf numFmtId="0" fontId="0" fillId="0" borderId="22" xfId="0" applyBorder="1"/>
    <xf numFmtId="0" fontId="0" fillId="0" borderId="22" xfId="0" applyBorder="1" applyAlignment="1">
      <alignment horizontal="center" vertical="center"/>
    </xf>
    <xf numFmtId="9" fontId="0" fillId="0" borderId="22" xfId="0" applyNumberFormat="1" applyBorder="1" applyAlignment="1">
      <alignment horizontal="center" vertical="center"/>
    </xf>
  </cellXfs>
  <cellStyles count="4">
    <cellStyle name="Moeda" xfId="1" builtinId="4"/>
    <cellStyle name="Neutro" xfId="3" builtinId="28"/>
    <cellStyle name="Normal" xfId="0" builtinId="0"/>
    <cellStyle name="Pe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Folha1!$C$28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Folha1!$B$29:$B$34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Folha1!$C$29:$C$34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EF-4CC5-A78C-C65D6079D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36</xdr:row>
      <xdr:rowOff>57150</xdr:rowOff>
    </xdr:from>
    <xdr:to>
      <xdr:col>3</xdr:col>
      <xdr:colOff>847724</xdr:colOff>
      <xdr:row>52</xdr:row>
      <xdr:rowOff>171450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tabSelected="1" workbookViewId="0">
      <selection activeCell="B27" sqref="B27"/>
    </sheetView>
  </sheetViews>
  <sheetFormatPr defaultColWidth="0" defaultRowHeight="15" zeroHeight="1" x14ac:dyDescent="0.25"/>
  <cols>
    <col min="1" max="1" width="3" style="1" bestFit="1" customWidth="1"/>
    <col min="2" max="2" width="39.5703125" style="1" bestFit="1" customWidth="1"/>
    <col min="3" max="3" width="31.28515625" style="1" bestFit="1" customWidth="1"/>
    <col min="4" max="4" width="12.7109375" style="1" bestFit="1" customWidth="1"/>
    <col min="5" max="5" width="3.5703125" style="1" customWidth="1"/>
    <col min="6" max="6" width="12.140625" style="1" hidden="1" customWidth="1"/>
    <col min="7" max="11" width="9.140625" style="1" hidden="1" customWidth="1"/>
    <col min="12" max="16384" width="9.140625" style="1" hidden="1"/>
  </cols>
  <sheetData>
    <row r="1" spans="2:4" x14ac:dyDescent="0.25"/>
    <row r="2" spans="2:4" x14ac:dyDescent="0.25"/>
    <row r="3" spans="2:4" x14ac:dyDescent="0.25"/>
    <row r="4" spans="2:4" customFormat="1" x14ac:dyDescent="0.25"/>
    <row r="5" spans="2:4" ht="15.75" thickBot="1" x14ac:dyDescent="0.3"/>
    <row r="6" spans="2:4" ht="17.25" x14ac:dyDescent="0.25">
      <c r="B6" s="28" t="s">
        <v>15</v>
      </c>
      <c r="C6" s="29"/>
      <c r="D6" s="18"/>
    </row>
    <row r="7" spans="2:4" ht="18" thickBot="1" x14ac:dyDescent="0.3">
      <c r="B7" s="38" t="s">
        <v>14</v>
      </c>
      <c r="C7" s="39"/>
      <c r="D7" s="19">
        <v>2000</v>
      </c>
    </row>
    <row r="8" spans="2:4" ht="18" thickBot="1" x14ac:dyDescent="0.3">
      <c r="B8" s="22" t="s">
        <v>13</v>
      </c>
      <c r="C8" s="23"/>
      <c r="D8" s="20">
        <v>6.0000000000000001E-3</v>
      </c>
    </row>
    <row r="9" spans="2:4" ht="18" thickBot="1" x14ac:dyDescent="0.3">
      <c r="B9" s="24" t="s">
        <v>34</v>
      </c>
      <c r="C9" s="25"/>
      <c r="D9" s="21">
        <f>salario*30%</f>
        <v>600</v>
      </c>
    </row>
    <row r="10" spans="2:4" ht="15.75" thickBot="1" x14ac:dyDescent="0.3"/>
    <row r="11" spans="2:4" ht="20.100000000000001" customHeight="1" x14ac:dyDescent="0.25">
      <c r="B11" s="26" t="s">
        <v>2</v>
      </c>
      <c r="C11" s="27"/>
      <c r="D11" s="4"/>
    </row>
    <row r="12" spans="2:4" ht="16.5" thickBot="1" x14ac:dyDescent="0.3">
      <c r="B12" s="30" t="s">
        <v>0</v>
      </c>
      <c r="C12" s="31"/>
      <c r="D12" s="5">
        <v>200</v>
      </c>
    </row>
    <row r="13" spans="2:4" ht="16.5" thickBot="1" x14ac:dyDescent="0.3">
      <c r="B13" s="32" t="s">
        <v>1</v>
      </c>
      <c r="C13" s="33"/>
      <c r="D13" s="6">
        <v>10</v>
      </c>
    </row>
    <row r="14" spans="2:4" ht="16.5" thickBot="1" x14ac:dyDescent="0.3">
      <c r="B14" s="32" t="s">
        <v>3</v>
      </c>
      <c r="C14" s="33"/>
      <c r="D14" s="7">
        <v>1.0789999999999999E-2</v>
      </c>
    </row>
    <row r="15" spans="2:4" ht="16.5" thickBot="1" x14ac:dyDescent="0.3">
      <c r="B15" s="34" t="s">
        <v>4</v>
      </c>
      <c r="C15" s="35"/>
      <c r="D15" s="8">
        <f>FV(taxa_mensal,qtd_anos*12,aporte*-1)</f>
        <v>48656.842506034438</v>
      </c>
    </row>
    <row r="16" spans="2:4" ht="16.5" thickBot="1" x14ac:dyDescent="0.3">
      <c r="B16" s="36" t="s">
        <v>5</v>
      </c>
      <c r="C16" s="37"/>
      <c r="D16" s="9">
        <f>patrimonio*redimento_carteira</f>
        <v>291.94105503620665</v>
      </c>
    </row>
    <row r="17" spans="1:4" ht="15.75" thickBot="1" x14ac:dyDescent="0.3"/>
    <row r="18" spans="1:4" ht="20.100000000000001" customHeight="1" x14ac:dyDescent="0.25">
      <c r="B18" s="26" t="s">
        <v>11</v>
      </c>
      <c r="C18" s="27"/>
      <c r="D18" s="2" t="s">
        <v>12</v>
      </c>
    </row>
    <row r="19" spans="1:4" ht="16.5" thickBot="1" x14ac:dyDescent="0.3">
      <c r="A19" s="3">
        <v>2</v>
      </c>
      <c r="B19" s="10" t="s">
        <v>6</v>
      </c>
      <c r="C19" s="11">
        <f>FV($D$14,$A19*12,$D$12*-1)</f>
        <v>5445.5254595290435</v>
      </c>
      <c r="D19" s="12">
        <f>C19*redimento_carteira</f>
        <v>32.673152757174265</v>
      </c>
    </row>
    <row r="20" spans="1:4" ht="16.5" thickBot="1" x14ac:dyDescent="0.3">
      <c r="A20" s="3">
        <v>5</v>
      </c>
      <c r="B20" s="13" t="s">
        <v>7</v>
      </c>
      <c r="C20" s="14">
        <f>FV($D$14,$A20*12,$D$12*-1)</f>
        <v>16755.382799697527</v>
      </c>
      <c r="D20" s="12">
        <f>C20*redimento_carteira</f>
        <v>100.53229679818516</v>
      </c>
    </row>
    <row r="21" spans="1:4" ht="16.5" thickBot="1" x14ac:dyDescent="0.3">
      <c r="A21" s="3">
        <v>10</v>
      </c>
      <c r="B21" s="13" t="s">
        <v>8</v>
      </c>
      <c r="C21" s="14">
        <f>FV($D$14,$A21*12,$D$12*-1)</f>
        <v>48656.842506034438</v>
      </c>
      <c r="D21" s="12">
        <f>C21*redimento_carteira</f>
        <v>291.94105503620665</v>
      </c>
    </row>
    <row r="22" spans="1:4" ht="16.5" thickBot="1" x14ac:dyDescent="0.3">
      <c r="A22" s="3">
        <v>20</v>
      </c>
      <c r="B22" s="13" t="s">
        <v>9</v>
      </c>
      <c r="C22" s="14">
        <f>FV($D$14,$A22*12,$D$12*-1)</f>
        <v>225039.68001941612</v>
      </c>
      <c r="D22" s="12">
        <f>C22*redimento_carteira</f>
        <v>1350.2380801164968</v>
      </c>
    </row>
    <row r="23" spans="1:4" ht="16.5" thickBot="1" x14ac:dyDescent="0.3">
      <c r="A23" s="3">
        <v>30</v>
      </c>
      <c r="B23" s="15" t="s">
        <v>10</v>
      </c>
      <c r="C23" s="16">
        <f>FV($D$14,$A23*12,$D$12*-1)</f>
        <v>864433.93100094295</v>
      </c>
      <c r="D23" s="17">
        <f>C23*redimento_carteira</f>
        <v>5186.6035860056581</v>
      </c>
    </row>
    <row r="24" spans="1:4" x14ac:dyDescent="0.25">
      <c r="A24" s="3"/>
      <c r="B24"/>
      <c r="C24"/>
      <c r="D24"/>
    </row>
    <row r="25" spans="1:4" x14ac:dyDescent="0.25">
      <c r="A25" s="3"/>
      <c r="B25" s="40" t="s">
        <v>19</v>
      </c>
      <c r="C25" s="42" t="s">
        <v>17</v>
      </c>
      <c r="D25" s="41"/>
    </row>
    <row r="26" spans="1:4" ht="15.75" x14ac:dyDescent="0.25">
      <c r="A26" s="3"/>
      <c r="B26" s="43" t="s">
        <v>18</v>
      </c>
      <c r="C26" s="54">
        <f>aporte</f>
        <v>200</v>
      </c>
      <c r="D26" s="54"/>
    </row>
    <row r="27" spans="1:4" x14ac:dyDescent="0.25">
      <c r="A27" s="3"/>
      <c r="B27"/>
      <c r="C27"/>
      <c r="D27"/>
    </row>
    <row r="28" spans="1:4" x14ac:dyDescent="0.25">
      <c r="A28" s="3"/>
      <c r="B28" s="50" t="s">
        <v>20</v>
      </c>
      <c r="C28" s="50" t="s">
        <v>27</v>
      </c>
      <c r="D28" s="50" t="s">
        <v>28</v>
      </c>
    </row>
    <row r="29" spans="1:4" x14ac:dyDescent="0.25">
      <c r="A29" s="3"/>
      <c r="B29" s="44" t="s">
        <v>21</v>
      </c>
      <c r="C29" s="47">
        <f>VLOOKUP($C$25&amp;"-"&amp;B29,Folha2!$B:$E,4,FALSE)</f>
        <v>0.5</v>
      </c>
      <c r="D29" s="49">
        <f>C29*$C$26</f>
        <v>100</v>
      </c>
    </row>
    <row r="30" spans="1:4" x14ac:dyDescent="0.25">
      <c r="A30" s="3"/>
      <c r="B30" s="44" t="s">
        <v>22</v>
      </c>
      <c r="C30" s="47">
        <f>VLOOKUP($C$25&amp;"-"&amp;B30,Folha2!$B:$E,4,FALSE)</f>
        <v>0.1</v>
      </c>
      <c r="D30" s="49">
        <f t="shared" ref="D30:D34" si="0">C30*$C$26</f>
        <v>20</v>
      </c>
    </row>
    <row r="31" spans="1:4" x14ac:dyDescent="0.25">
      <c r="A31" s="3"/>
      <c r="B31" s="44" t="s">
        <v>23</v>
      </c>
      <c r="C31" s="47">
        <f>VLOOKUP($C$25&amp;"-"&amp;B31,Folha2!$B:$E,4,FALSE)</f>
        <v>0.05</v>
      </c>
      <c r="D31" s="49">
        <f t="shared" si="0"/>
        <v>10</v>
      </c>
    </row>
    <row r="32" spans="1:4" x14ac:dyDescent="0.25">
      <c r="A32" s="3"/>
      <c r="B32" s="44" t="s">
        <v>24</v>
      </c>
      <c r="C32" s="47">
        <f>VLOOKUP($C$25&amp;"-"&amp;B32,Folha2!$B:$E,4,FALSE)</f>
        <v>0.05</v>
      </c>
      <c r="D32" s="49">
        <f t="shared" si="0"/>
        <v>10</v>
      </c>
    </row>
    <row r="33" spans="2:4" x14ac:dyDescent="0.25">
      <c r="B33" s="46" t="s">
        <v>25</v>
      </c>
      <c r="C33" s="47">
        <f>VLOOKUP($C$25&amp;"-"&amp;B33,Folha2!$B:$E,4,FALSE)</f>
        <v>0.2</v>
      </c>
      <c r="D33" s="49">
        <f t="shared" si="0"/>
        <v>40</v>
      </c>
    </row>
    <row r="34" spans="2:4" x14ac:dyDescent="0.25">
      <c r="B34" s="46" t="s">
        <v>26</v>
      </c>
      <c r="C34" s="47">
        <f>VLOOKUP($C$25&amp;"-"&amp;B34,Folha2!$B:$E,4,FALSE)</f>
        <v>0.1</v>
      </c>
      <c r="D34" s="49">
        <f t="shared" si="0"/>
        <v>20</v>
      </c>
    </row>
    <row r="35" spans="2:4" x14ac:dyDescent="0.25">
      <c r="B35" s="51"/>
      <c r="C35" s="52"/>
      <c r="D35" s="53">
        <f>SUM(D29:D34)</f>
        <v>200</v>
      </c>
    </row>
    <row r="36" spans="2:4" x14ac:dyDescent="0.25">
      <c r="B36"/>
      <c r="C36"/>
      <c r="D36"/>
    </row>
    <row r="37" spans="2:4" x14ac:dyDescent="0.25">
      <c r="B37"/>
      <c r="C37"/>
      <c r="D37"/>
    </row>
    <row r="38" spans="2:4" x14ac:dyDescent="0.25">
      <c r="B38"/>
      <c r="C38"/>
      <c r="D38"/>
    </row>
    <row r="39" spans="2:4" x14ac:dyDescent="0.25">
      <c r="B39"/>
      <c r="C39"/>
      <c r="D39"/>
    </row>
    <row r="40" spans="2:4" x14ac:dyDescent="0.25">
      <c r="B40"/>
      <c r="C40"/>
      <c r="D40"/>
    </row>
    <row r="41" spans="2:4" x14ac:dyDescent="0.25">
      <c r="B41"/>
      <c r="C41"/>
      <c r="D41"/>
    </row>
    <row r="42" spans="2:4" x14ac:dyDescent="0.25">
      <c r="B42"/>
      <c r="C42"/>
      <c r="D42"/>
    </row>
    <row r="43" spans="2:4" x14ac:dyDescent="0.25">
      <c r="B43"/>
      <c r="C43"/>
      <c r="D43"/>
    </row>
    <row r="44" spans="2:4" x14ac:dyDescent="0.25">
      <c r="B44"/>
      <c r="C44"/>
      <c r="D44"/>
    </row>
    <row r="45" spans="2:4" x14ac:dyDescent="0.25">
      <c r="B45"/>
      <c r="C45"/>
      <c r="D45"/>
    </row>
    <row r="46" spans="2:4" x14ac:dyDescent="0.25">
      <c r="B46"/>
      <c r="C46"/>
      <c r="D46"/>
    </row>
    <row r="47" spans="2:4" x14ac:dyDescent="0.25">
      <c r="B47"/>
      <c r="C47"/>
      <c r="D47"/>
    </row>
    <row r="48" spans="2:4" x14ac:dyDescent="0.25">
      <c r="B48"/>
      <c r="C48"/>
      <c r="D48"/>
    </row>
    <row r="49" spans="2:4" x14ac:dyDescent="0.25">
      <c r="B49"/>
      <c r="C49"/>
      <c r="D49"/>
    </row>
    <row r="50" spans="2:4" x14ac:dyDescent="0.25">
      <c r="B50"/>
      <c r="C50"/>
      <c r="D50"/>
    </row>
    <row r="51" spans="2:4" x14ac:dyDescent="0.25">
      <c r="B51"/>
      <c r="C51"/>
      <c r="D51"/>
    </row>
    <row r="52" spans="2:4" x14ac:dyDescent="0.25">
      <c r="B52" s="46"/>
    </row>
    <row r="53" spans="2:4" x14ac:dyDescent="0.25">
      <c r="B53" s="46"/>
    </row>
    <row r="54" spans="2:4" x14ac:dyDescent="0.25">
      <c r="B54" s="46"/>
    </row>
    <row r="55" spans="2:4" x14ac:dyDescent="0.25">
      <c r="B55" s="46"/>
    </row>
    <row r="56" spans="2:4" x14ac:dyDescent="0.25">
      <c r="B56" s="46"/>
    </row>
    <row r="57" spans="2:4" x14ac:dyDescent="0.25"/>
    <row r="58" spans="2:4" x14ac:dyDescent="0.25"/>
  </sheetData>
  <mergeCells count="12">
    <mergeCell ref="C26:D26"/>
    <mergeCell ref="B8:C8"/>
    <mergeCell ref="B9:C9"/>
    <mergeCell ref="B11:C11"/>
    <mergeCell ref="B18:C18"/>
    <mergeCell ref="B6:C6"/>
    <mergeCell ref="B12:C12"/>
    <mergeCell ref="B13:C13"/>
    <mergeCell ref="B14:C14"/>
    <mergeCell ref="B15:C15"/>
    <mergeCell ref="B16:C16"/>
    <mergeCell ref="B7:C7"/>
  </mergeCells>
  <dataValidations count="1">
    <dataValidation type="list" allowBlank="1" showInputMessage="1" showErrorMessage="1" sqref="C25">
      <formula1>"Conservador,Moderado, Agressivo"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0"/>
  <sheetViews>
    <sheetView showGridLines="0" workbookViewId="0">
      <selection activeCell="E15" sqref="E15"/>
    </sheetView>
  </sheetViews>
  <sheetFormatPr defaultRowHeight="15" x14ac:dyDescent="0.25"/>
  <cols>
    <col min="2" max="2" width="31.28515625" bestFit="1" customWidth="1"/>
    <col min="3" max="3" width="12.140625" bestFit="1" customWidth="1"/>
    <col min="4" max="4" width="19" bestFit="1" customWidth="1"/>
  </cols>
  <sheetData>
    <row r="2" spans="2:5" x14ac:dyDescent="0.25">
      <c r="B2" s="45" t="s">
        <v>33</v>
      </c>
      <c r="C2" s="45" t="s">
        <v>16</v>
      </c>
      <c r="D2" s="45" t="s">
        <v>29</v>
      </c>
      <c r="E2" s="45" t="s">
        <v>31</v>
      </c>
    </row>
    <row r="3" spans="2:5" x14ac:dyDescent="0.25">
      <c r="B3" t="str">
        <f>C3&amp;"-"&amp;D3</f>
        <v>Conservador-PAPEL</v>
      </c>
      <c r="C3" t="s">
        <v>30</v>
      </c>
      <c r="D3" s="44" t="s">
        <v>21</v>
      </c>
      <c r="E3" s="47">
        <v>0.3</v>
      </c>
    </row>
    <row r="4" spans="2:5" x14ac:dyDescent="0.25">
      <c r="B4" t="str">
        <f t="shared" ref="B4:B8" si="0">C4&amp;"-"&amp;D4</f>
        <v>Conservador-TIJOLO</v>
      </c>
      <c r="C4" t="s">
        <v>30</v>
      </c>
      <c r="D4" s="44" t="s">
        <v>22</v>
      </c>
      <c r="E4" s="47">
        <v>0.5</v>
      </c>
    </row>
    <row r="5" spans="2:5" x14ac:dyDescent="0.25">
      <c r="B5" t="str">
        <f t="shared" si="0"/>
        <v>Conservador-HÍBRIDOS</v>
      </c>
      <c r="C5" t="s">
        <v>30</v>
      </c>
      <c r="D5" s="44" t="s">
        <v>23</v>
      </c>
      <c r="E5" s="47">
        <v>0.1</v>
      </c>
    </row>
    <row r="6" spans="2:5" x14ac:dyDescent="0.25">
      <c r="B6" t="str">
        <f t="shared" si="0"/>
        <v>Conservador-FOF's</v>
      </c>
      <c r="C6" t="s">
        <v>30</v>
      </c>
      <c r="D6" s="44" t="s">
        <v>24</v>
      </c>
      <c r="E6" s="47">
        <v>0.1</v>
      </c>
    </row>
    <row r="7" spans="2:5" x14ac:dyDescent="0.25">
      <c r="B7" t="str">
        <f t="shared" si="0"/>
        <v>Conservador-DESENVOLVIMENTO</v>
      </c>
      <c r="C7" t="s">
        <v>30</v>
      </c>
      <c r="D7" s="46" t="s">
        <v>25</v>
      </c>
      <c r="E7" s="48">
        <v>0</v>
      </c>
    </row>
    <row r="8" spans="2:5" ht="15.75" thickBot="1" x14ac:dyDescent="0.3">
      <c r="B8" s="55" t="str">
        <f t="shared" si="0"/>
        <v>Conservador-HOTELARIAS</v>
      </c>
      <c r="C8" s="55" t="s">
        <v>30</v>
      </c>
      <c r="D8" s="56" t="s">
        <v>26</v>
      </c>
      <c r="E8" s="57">
        <v>0</v>
      </c>
    </row>
    <row r="9" spans="2:5" x14ac:dyDescent="0.25">
      <c r="B9" t="str">
        <f>C9&amp;"-"&amp;D9</f>
        <v>Moderado-PAPEL</v>
      </c>
      <c r="C9" t="s">
        <v>32</v>
      </c>
      <c r="D9" s="44" t="s">
        <v>21</v>
      </c>
      <c r="E9" s="47">
        <v>0.32</v>
      </c>
    </row>
    <row r="10" spans="2:5" x14ac:dyDescent="0.25">
      <c r="B10" t="str">
        <f t="shared" ref="B10:B14" si="1">C10&amp;"-"&amp;D10</f>
        <v>Moderado-TIJOLO</v>
      </c>
      <c r="C10" t="s">
        <v>32</v>
      </c>
      <c r="D10" s="44" t="s">
        <v>22</v>
      </c>
      <c r="E10" s="47">
        <v>0.35</v>
      </c>
    </row>
    <row r="11" spans="2:5" x14ac:dyDescent="0.25">
      <c r="B11" t="str">
        <f t="shared" si="1"/>
        <v>Moderado-HÍBRIDOS</v>
      </c>
      <c r="C11" t="s">
        <v>32</v>
      </c>
      <c r="D11" s="44" t="s">
        <v>23</v>
      </c>
      <c r="E11" s="47">
        <v>0.08</v>
      </c>
    </row>
    <row r="12" spans="2:5" x14ac:dyDescent="0.25">
      <c r="B12" t="str">
        <f t="shared" si="1"/>
        <v>Moderado-FOF's</v>
      </c>
      <c r="C12" t="s">
        <v>32</v>
      </c>
      <c r="D12" s="44" t="s">
        <v>24</v>
      </c>
      <c r="E12" s="47">
        <v>0.05</v>
      </c>
    </row>
    <row r="13" spans="2:5" x14ac:dyDescent="0.25">
      <c r="B13" t="str">
        <f t="shared" si="1"/>
        <v>Moderado-DESENVOLVIMENTO</v>
      </c>
      <c r="C13" t="s">
        <v>32</v>
      </c>
      <c r="D13" s="46" t="s">
        <v>25</v>
      </c>
      <c r="E13" s="48">
        <v>0.1</v>
      </c>
    </row>
    <row r="14" spans="2:5" ht="15.75" thickBot="1" x14ac:dyDescent="0.3">
      <c r="B14" s="55" t="str">
        <f t="shared" si="1"/>
        <v>Moderado-HOTELARIAS</v>
      </c>
      <c r="C14" s="55" t="s">
        <v>32</v>
      </c>
      <c r="D14" s="56" t="s">
        <v>26</v>
      </c>
      <c r="E14" s="57">
        <v>0.1</v>
      </c>
    </row>
    <row r="15" spans="2:5" x14ac:dyDescent="0.25">
      <c r="B15" t="str">
        <f>C15&amp;"-"&amp;D15</f>
        <v>Agressivo-PAPEL</v>
      </c>
      <c r="C15" t="s">
        <v>17</v>
      </c>
      <c r="D15" s="44" t="s">
        <v>21</v>
      </c>
      <c r="E15" s="47">
        <v>0.5</v>
      </c>
    </row>
    <row r="16" spans="2:5" x14ac:dyDescent="0.25">
      <c r="B16" t="str">
        <f t="shared" ref="B16:B20" si="2">C16&amp;"-"&amp;D16</f>
        <v>Agressivo-TIJOLO</v>
      </c>
      <c r="C16" t="s">
        <v>17</v>
      </c>
      <c r="D16" s="44" t="s">
        <v>22</v>
      </c>
      <c r="E16" s="47">
        <v>0.1</v>
      </c>
    </row>
    <row r="17" spans="2:5" x14ac:dyDescent="0.25">
      <c r="B17" t="str">
        <f t="shared" si="2"/>
        <v>Agressivo-HÍBRIDOS</v>
      </c>
      <c r="C17" t="s">
        <v>17</v>
      </c>
      <c r="D17" s="44" t="s">
        <v>23</v>
      </c>
      <c r="E17" s="47">
        <v>0.05</v>
      </c>
    </row>
    <row r="18" spans="2:5" x14ac:dyDescent="0.25">
      <c r="B18" t="str">
        <f t="shared" si="2"/>
        <v>Agressivo-FOF's</v>
      </c>
      <c r="C18" t="s">
        <v>17</v>
      </c>
      <c r="D18" s="44" t="s">
        <v>24</v>
      </c>
      <c r="E18" s="47">
        <v>0.05</v>
      </c>
    </row>
    <row r="19" spans="2:5" x14ac:dyDescent="0.25">
      <c r="B19" t="str">
        <f t="shared" si="2"/>
        <v>Agressivo-DESENVOLVIMENTO</v>
      </c>
      <c r="C19" t="s">
        <v>17</v>
      </c>
      <c r="D19" s="46" t="s">
        <v>25</v>
      </c>
      <c r="E19" s="48">
        <v>0.2</v>
      </c>
    </row>
    <row r="20" spans="2:5" x14ac:dyDescent="0.25">
      <c r="B20" t="str">
        <f t="shared" si="2"/>
        <v>Agressivo-HOTELARIAS</v>
      </c>
      <c r="C20" t="s">
        <v>17</v>
      </c>
      <c r="D20" s="46" t="s">
        <v>26</v>
      </c>
      <c r="E20" s="48">
        <v>0.1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EE8488CB22E2546AD3634712B40CE2E" ma:contentTypeVersion="16" ma:contentTypeDescription="Crie um novo documento." ma:contentTypeScope="" ma:versionID="143a4899d8a639e1e6b51dd030945bb7">
  <xsd:schema xmlns:xsd="http://www.w3.org/2001/XMLSchema" xmlns:xs="http://www.w3.org/2001/XMLSchema" xmlns:p="http://schemas.microsoft.com/office/2006/metadata/properties" xmlns:ns3="5c2ff6eb-975f-4a4e-860a-d2779c3b30b5" xmlns:ns4="d094eaf6-28d2-40f0-85af-d271122c2caf" targetNamespace="http://schemas.microsoft.com/office/2006/metadata/properties" ma:root="true" ma:fieldsID="4409dd66efeac9b87e81823959132860" ns3:_="" ns4:_="">
    <xsd:import namespace="5c2ff6eb-975f-4a4e-860a-d2779c3b30b5"/>
    <xsd:import namespace="d094eaf6-28d2-40f0-85af-d271122c2caf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ff6eb-975f-4a4e-860a-d2779c3b30b5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94eaf6-28d2-40f0-85af-d271122c2ca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c2ff6eb-975f-4a4e-860a-d2779c3b30b5" xsi:nil="true"/>
  </documentManagement>
</p:properties>
</file>

<file path=customXml/itemProps1.xml><?xml version="1.0" encoding="utf-8"?>
<ds:datastoreItem xmlns:ds="http://schemas.openxmlformats.org/officeDocument/2006/customXml" ds:itemID="{A7F679B3-9A3D-43BD-8232-6C53D3863A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2ff6eb-975f-4a4e-860a-d2779c3b30b5"/>
    <ds:schemaRef ds:uri="d094eaf6-28d2-40f0-85af-d271122c2c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690E69-1F36-4B94-BF11-A61ED30AF4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8049DB-FCB6-4A2C-B2E0-D316246E163A}">
  <ds:schemaRefs>
    <ds:schemaRef ds:uri="http://purl.org/dc/elements/1.1/"/>
    <ds:schemaRef ds:uri="http://purl.org/dc/terms/"/>
    <ds:schemaRef ds:uri="http://schemas.microsoft.com/office/2006/metadata/properties"/>
    <ds:schemaRef ds:uri="http://schemas.microsoft.com/office/2006/documentManagement/types"/>
    <ds:schemaRef ds:uri="5c2ff6eb-975f-4a4e-860a-d2779c3b30b5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d094eaf6-28d2-40f0-85af-d271122c2ca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7</vt:i4>
      </vt:variant>
    </vt:vector>
  </HeadingPairs>
  <TitlesOfParts>
    <vt:vector size="9" baseType="lpstr">
      <vt:lpstr>Folha1</vt:lpstr>
      <vt:lpstr>Folha2</vt:lpstr>
      <vt:lpstr>aporte</vt:lpstr>
      <vt:lpstr>patrimonio</vt:lpstr>
      <vt:lpstr>qtd_anos</vt:lpstr>
      <vt:lpstr>redimento_carteira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Lacerda</dc:creator>
  <cp:lastModifiedBy>Tiago Lacerda</cp:lastModifiedBy>
  <dcterms:created xsi:type="dcterms:W3CDTF">2026-09-04T16:47:21Z</dcterms:created>
  <dcterms:modified xsi:type="dcterms:W3CDTF">2026-09-04T20:17:24Z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0x0101007EE8488CB22E2546AD3634712B40CE2E</vt:lpwstr>
  </property>
</Properties>
</file>